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" sheetId="1" state="visible" r:id="rId1"/>
    <sheet name="Descartados" sheetId="2" state="visible" r:id="rId2"/>
    <sheet name="Ambiguos" sheetId="3" state="visible" r:id="rId3"/>
    <sheet name="Sin_rank" sheetId="4" state="visible" r:id="rId4"/>
    <sheet name="Precio por lote" sheetId="5" state="visible" r:id="rId5"/>
    <sheet name="Chase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6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808080"/>
      </font>
      <fill>
        <patternFill patternType="solid">
          <fgColor rgb="00E7E6E6"/>
          <bgColor rgb="00E7E6E6"/>
        </patternFill>
      </fill>
    </dxf>
    <dxf>
      <font>
        <color rgb="00006100"/>
      </font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_Analisis" displayName="T_Analisis" ref="A1:AA17" headerRowCount="1">
  <autoFilter ref="A1:AA17"/>
  <tableColumns count="27">
    <tableColumn id="1" name="Nombre"/>
    <tableColumn id="2" name="EAN"/>
    <tableColumn id="3" name="ASIN"/>
    <tableColumn id="4" name="Marca"/>
    <tableColumn id="5" name="PA (€)"/>
    <tableColumn id="6" name="País"/>
    <tableColumn id="7" name="Ventas"/>
    <tableColumn id="8" name="Precio venta (€)"/>
    <tableColumn id="9" name="Canal BB"/>
    <tableColumn id="10" name="% Comisión"/>
    <tableColumn id="11" name="Com. Amazon (€)"/>
    <tableColumn id="12" name="Fee Logística (€)"/>
    <tableColumn id="13" name="Almacén (€)"/>
    <tableColumn id="14" name="Beneficio (€)"/>
    <tableColumn id="15" name="ROI"/>
    <tableColumn id="16" name="Margen"/>
    <tableColumn id="17" name="Decisión"/>
    <tableColumn id="18" name="En mi BD"/>
    <tableColumn id="19" name="EAN ambiguo"/>
    <tableColumn id="20" name="Amazon (título)"/>
    <tableColumn id="21" name="Coincide"/>
    <tableColumn id="22" name="Cotejo"/>
    <tableColumn id="23" name="Cotejo (detalle)"/>
    <tableColumn id="24" name="Coherencia caja"/>
    <tableColumn id="25" name="OcioStock"/>
    <tableColumn id="26" name="ISD s/ Fee Log. (€)"/>
    <tableColumn id="27" name="Origen IV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es/dp/B0PRUEBA01" TargetMode="External" Id="rId1" /><Relationship Type="http://schemas.openxmlformats.org/officeDocument/2006/relationships/hyperlink" Target="https://www.amazon.it/dp/B0PRUEBA01" TargetMode="External" Id="rId2" /><Relationship Type="http://schemas.openxmlformats.org/officeDocument/2006/relationships/hyperlink" Target="https://www.amazon.fr/dp/B0PRUEBA01" TargetMode="External" Id="rId3" /><Relationship Type="http://schemas.openxmlformats.org/officeDocument/2006/relationships/hyperlink" Target="https://www.amazon.de/dp/B0PRUEBA01" TargetMode="External" Id="rId4" /><Relationship Type="http://schemas.openxmlformats.org/officeDocument/2006/relationships/hyperlink" Target="https://www.amazon.es/dp/B0PRUEBA02" TargetMode="External" Id="rId5" /><Relationship Type="http://schemas.openxmlformats.org/officeDocument/2006/relationships/hyperlink" Target="https://example.invalid/ficha/beta" TargetMode="External" Id="rId6" /><Relationship Type="http://schemas.openxmlformats.org/officeDocument/2006/relationships/hyperlink" Target="https://www.amazon.it/dp/B0PRUEBA02" TargetMode="External" Id="rId7" /><Relationship Type="http://schemas.openxmlformats.org/officeDocument/2006/relationships/hyperlink" Target="https://example.invalid/ficha/beta" TargetMode="External" Id="rId8" /><Relationship Type="http://schemas.openxmlformats.org/officeDocument/2006/relationships/hyperlink" Target="https://www.amazon.fr/dp/B0PRUEBA02" TargetMode="External" Id="rId9" /><Relationship Type="http://schemas.openxmlformats.org/officeDocument/2006/relationships/hyperlink" Target="https://example.invalid/ficha/beta" TargetMode="External" Id="rId10" /><Relationship Type="http://schemas.openxmlformats.org/officeDocument/2006/relationships/hyperlink" Target="https://www.amazon.de/dp/B0PRUEBA02" TargetMode="External" Id="rId11" /><Relationship Type="http://schemas.openxmlformats.org/officeDocument/2006/relationships/hyperlink" Target="https://example.invalid/ficha/beta" TargetMode="External" Id="rId12" /><Relationship Type="http://schemas.openxmlformats.org/officeDocument/2006/relationships/hyperlink" Target="https://www.amazon.es/dp/B0PRUEBA03" TargetMode="External" Id="rId13" /><Relationship Type="http://schemas.openxmlformats.org/officeDocument/2006/relationships/hyperlink" Target="https://example.invalid/ficha/gamma" TargetMode="External" Id="rId14" /><Relationship Type="http://schemas.openxmlformats.org/officeDocument/2006/relationships/hyperlink" Target="https://www.amazon.it/dp/B0PRUEBA03" TargetMode="External" Id="rId15" /><Relationship Type="http://schemas.openxmlformats.org/officeDocument/2006/relationships/hyperlink" Target="https://example.invalid/ficha/gamma" TargetMode="External" Id="rId16" /><Relationship Type="http://schemas.openxmlformats.org/officeDocument/2006/relationships/hyperlink" Target="https://www.amazon.fr/dp/B0PRUEBA03" TargetMode="External" Id="rId17" /><Relationship Type="http://schemas.openxmlformats.org/officeDocument/2006/relationships/hyperlink" Target="https://example.invalid/ficha/gamma" TargetMode="External" Id="rId18" /><Relationship Type="http://schemas.openxmlformats.org/officeDocument/2006/relationships/hyperlink" Target="https://www.amazon.de/dp/B0PRUEBA03" TargetMode="External" Id="rId19" /><Relationship Type="http://schemas.openxmlformats.org/officeDocument/2006/relationships/hyperlink" Target="https://example.invalid/ficha/gamma" TargetMode="External" Id="rId20" /><Relationship Type="http://schemas.openxmlformats.org/officeDocument/2006/relationships/hyperlink" Target="https://www.amazon.es/dp/B0PRUEBA04" TargetMode="External" Id="rId21" /><Relationship Type="http://schemas.openxmlformats.org/officeDocument/2006/relationships/hyperlink" Target="https://www.amazon.it/dp/B0PRUEBA04" TargetMode="External" Id="rId22" /><Relationship Type="http://schemas.openxmlformats.org/officeDocument/2006/relationships/hyperlink" Target="https://www.amazon.fr/dp/B0PRUEBA04" TargetMode="External" Id="rId23" /><Relationship Type="http://schemas.openxmlformats.org/officeDocument/2006/relationships/hyperlink" Target="https://www.amazon.de/dp/B0PRUEBA04" TargetMode="External" Id="rId24" /><Relationship Type="http://schemas.openxmlformats.org/officeDocument/2006/relationships/table" Target="/xl/tables/table1.xml" Id="rId25" 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invalid/img.jpg" TargetMode="External" Id="rId1" /><Relationship Type="http://schemas.openxmlformats.org/officeDocument/2006/relationships/hyperlink" Target="https://example.invalid/busca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2" customWidth="1" min="4" max="4"/>
    <col width="15" customWidth="1" min="17" max="17"/>
    <col width="20" customWidth="1" min="18" max="18"/>
    <col width="50" customWidth="1" min="20" max="20"/>
    <col width="11" customWidth="1" min="21" max="21"/>
    <col width="16" customWidth="1" min="22" max="22"/>
    <col width="46" customWidth="1" min="23" max="23"/>
    <col width="46" customWidth="1" min="24" max="24"/>
    <col width="13" customWidth="1" min="25" max="25"/>
    <col width="17" customWidth="1" min="26" max="26"/>
    <col width="14" customWidth="1" min="27" max="27"/>
  </cols>
  <sheetData>
    <row r="1">
      <c r="A1" s="1" t="inlineStr">
        <is>
          <t>Nombre</t>
        </is>
      </c>
      <c r="B1" s="1" t="inlineStr">
        <is>
          <t>EAN</t>
        </is>
      </c>
      <c r="C1" s="1" t="inlineStr">
        <is>
          <t>ASIN</t>
        </is>
      </c>
      <c r="D1" s="1" t="inlineStr">
        <is>
          <t>Marca</t>
        </is>
      </c>
      <c r="E1" s="1" t="inlineStr">
        <is>
          <t>PA (€)</t>
        </is>
      </c>
      <c r="F1" s="1" t="inlineStr">
        <is>
          <t>País</t>
        </is>
      </c>
      <c r="G1" s="1" t="inlineStr">
        <is>
          <t>Ventas</t>
        </is>
      </c>
      <c r="H1" s="1" t="inlineStr">
        <is>
          <t>Precio venta (€)</t>
        </is>
      </c>
      <c r="I1" s="1" t="inlineStr">
        <is>
          <t>Canal BB</t>
        </is>
      </c>
      <c r="J1" s="1" t="inlineStr">
        <is>
          <t>% Comisión</t>
        </is>
      </c>
      <c r="K1" s="1" t="inlineStr">
        <is>
          <t>Com. Amazon (€)</t>
        </is>
      </c>
      <c r="L1" s="1" t="inlineStr">
        <is>
          <t>Fee Logística (€)</t>
        </is>
      </c>
      <c r="M1" s="1" t="inlineStr">
        <is>
          <t>Almacén (€)</t>
        </is>
      </c>
      <c r="N1" s="1" t="inlineStr">
        <is>
          <t>Beneficio (€)</t>
        </is>
      </c>
      <c r="O1" s="1" t="inlineStr">
        <is>
          <t>ROI</t>
        </is>
      </c>
      <c r="P1" s="1" t="inlineStr">
        <is>
          <t>Margen</t>
        </is>
      </c>
      <c r="Q1" s="1" t="inlineStr">
        <is>
          <t>Decisión</t>
        </is>
      </c>
      <c r="R1" s="1" t="inlineStr">
        <is>
          <t>En mi BD</t>
        </is>
      </c>
      <c r="S1" s="1" t="inlineStr">
        <is>
          <t>EAN ambiguo</t>
        </is>
      </c>
      <c r="T1" s="1" t="inlineStr">
        <is>
          <t>Amazon (título)</t>
        </is>
      </c>
      <c r="U1" s="1" t="inlineStr">
        <is>
          <t>Coincide</t>
        </is>
      </c>
      <c r="V1" s="1" t="inlineStr">
        <is>
          <t>Cotejo</t>
        </is>
      </c>
      <c r="W1" s="1" t="inlineStr">
        <is>
          <t>Cotejo (detalle)</t>
        </is>
      </c>
      <c r="X1" s="1" t="inlineStr">
        <is>
          <t>Coherencia caja</t>
        </is>
      </c>
      <c r="Y1" s="1" t="inlineStr">
        <is>
          <t>OcioStock</t>
        </is>
      </c>
      <c r="Z1" s="1" t="inlineStr">
        <is>
          <t>ISD s/ Fee Log. (€)</t>
        </is>
      </c>
      <c r="AA1" s="1" t="inlineStr">
        <is>
          <t>Origen IVA</t>
        </is>
      </c>
    </row>
    <row r="2">
      <c r="A2" t="inlineStr">
        <is>
          <t>Producto de prueba Alfa</t>
        </is>
      </c>
      <c r="B2" t="inlineStr">
        <is>
          <t>8400000000017</t>
        </is>
      </c>
      <c r="C2" s="2" t="inlineStr">
        <is>
          <t>B0PRUEBA01</t>
        </is>
      </c>
      <c r="D2" t="inlineStr">
        <is>
          <t>Marca Uno</t>
        </is>
      </c>
      <c r="E2" s="3" t="n">
        <v>4</v>
      </c>
      <c r="F2" t="inlineStr">
        <is>
          <t>ES</t>
        </is>
      </c>
      <c r="G2" t="n">
        <v>30</v>
      </c>
      <c r="H2" s="3" t="n">
        <v>19.99</v>
      </c>
      <c r="I2" t="inlineStr">
        <is>
          <t>BB-FBA</t>
        </is>
      </c>
      <c r="J2" s="4" t="n">
        <v>0.1545</v>
      </c>
      <c r="K2" s="3">
        <f>H2*J2+Z2</f>
        <v/>
      </c>
      <c r="L2" s="3" t="n">
        <v>3.1</v>
      </c>
      <c r="M2" s="3" t="n">
        <v>0.15</v>
      </c>
      <c r="N2" s="3">
        <f>(H2/1.1)-E2-K2-L2-M2</f>
        <v/>
      </c>
      <c r="O2" s="5">
        <f>N2/E2</f>
        <v/>
      </c>
      <c r="P2" s="5">
        <f>N2/H2</f>
        <v/>
      </c>
      <c r="Q2" t="inlineStr">
        <is>
          <t>COMPRAR</t>
        </is>
      </c>
      <c r="R2" t="inlineStr">
        <is>
          <t>OK Alm:3 FBA:5</t>
        </is>
      </c>
      <c r="S2" t="inlineStr"/>
      <c r="T2" t="inlineStr">
        <is>
          <t>Titulo de prueba Alfa</t>
        </is>
      </c>
      <c r="U2" t="inlineStr">
        <is>
          <t>SI</t>
        </is>
      </c>
      <c r="V2" t="inlineStr">
        <is>
          <t>OK</t>
        </is>
      </c>
      <c r="W2" t="inlineStr">
        <is>
          <t>2/2 casan; entre esos, mejor rank (casa: alfa)</t>
        </is>
      </c>
      <c r="X2" t="inlineStr">
        <is>
          <t>—</t>
        </is>
      </c>
      <c r="Y2" t="inlineStr"/>
      <c r="Z2" s="3" t="n">
        <v>0</v>
      </c>
      <c r="AA2" t="inlineStr">
        <is>
          <t>ficha</t>
        </is>
      </c>
    </row>
    <row r="3">
      <c r="A3" t="inlineStr">
        <is>
          <t>Producto de prueba Alfa</t>
        </is>
      </c>
      <c r="B3" t="inlineStr">
        <is>
          <t>8400000000017</t>
        </is>
      </c>
      <c r="C3" s="2" t="inlineStr">
        <is>
          <t>B0PRUEBA01</t>
        </is>
      </c>
      <c r="D3" t="inlineStr">
        <is>
          <t>Marca Uno</t>
        </is>
      </c>
      <c r="E3" s="3" t="n">
        <v>4</v>
      </c>
      <c r="F3" t="inlineStr">
        <is>
          <t>IT</t>
        </is>
      </c>
      <c r="G3" t="n">
        <v>0</v>
      </c>
      <c r="H3" s="3" t="n">
        <v>17.5</v>
      </c>
      <c r="I3" t="inlineStr">
        <is>
          <t>BB-FBA</t>
        </is>
      </c>
      <c r="J3" s="4" t="n">
        <v>0.1545</v>
      </c>
      <c r="K3" s="3">
        <f>H3*J3+Z3</f>
        <v/>
      </c>
      <c r="L3" s="3" t="n">
        <v>3.1</v>
      </c>
      <c r="M3" s="3" t="n">
        <v>0.15</v>
      </c>
      <c r="N3" s="3">
        <f>(H3/1.22)-E3-K3-L3-M3</f>
        <v/>
      </c>
      <c r="O3" s="5">
        <f>N3/E3</f>
        <v/>
      </c>
      <c r="P3" s="5">
        <f>N3/H3</f>
        <v/>
      </c>
      <c r="Q3" t="inlineStr">
        <is>
          <t>VALORAR</t>
        </is>
      </c>
      <c r="R3" t="inlineStr">
        <is>
          <t>OK Alm:3 FBA:5</t>
        </is>
      </c>
      <c r="S3" t="inlineStr"/>
      <c r="T3" t="inlineStr">
        <is>
          <t>Titulo de prueba Alfa</t>
        </is>
      </c>
      <c r="U3" t="inlineStr">
        <is>
          <t>SI</t>
        </is>
      </c>
      <c r="V3" t="inlineStr">
        <is>
          <t>OK</t>
        </is>
      </c>
      <c r="W3" t="inlineStr">
        <is>
          <t>2/2 casan; entre esos, mejor rank (casa: alfa)</t>
        </is>
      </c>
      <c r="X3" t="inlineStr">
        <is>
          <t>—</t>
        </is>
      </c>
      <c r="Y3" t="inlineStr"/>
      <c r="Z3" s="3" t="n">
        <v>0</v>
      </c>
      <c r="AA3" t="inlineStr">
        <is>
          <t>general IT 22%</t>
        </is>
      </c>
    </row>
    <row r="4">
      <c r="A4" t="inlineStr">
        <is>
          <t>Producto de prueba Alfa</t>
        </is>
      </c>
      <c r="B4" t="inlineStr">
        <is>
          <t>8400000000017</t>
        </is>
      </c>
      <c r="C4" s="2" t="inlineStr">
        <is>
          <t>B0PRUEBA01</t>
        </is>
      </c>
      <c r="D4" t="inlineStr">
        <is>
          <t>Marca Uno</t>
        </is>
      </c>
      <c r="E4" s="3" t="n">
        <v>4</v>
      </c>
      <c r="F4" t="inlineStr">
        <is>
          <t>FR</t>
        </is>
      </c>
      <c r="H4" s="3" t="n">
        <v>12</v>
      </c>
      <c r="I4" t="inlineStr">
        <is>
          <t>BB-FBA</t>
        </is>
      </c>
      <c r="J4" s="4" t="n">
        <v>0.1545</v>
      </c>
      <c r="K4" s="3">
        <f>H4*J4+Z4</f>
        <v/>
      </c>
      <c r="L4" s="3" t="n">
        <v>3.1</v>
      </c>
      <c r="M4" s="3" t="n">
        <v>0.15</v>
      </c>
      <c r="N4" s="3">
        <f>(H4/1.2)-E4-K4-L4-M4</f>
        <v/>
      </c>
      <c r="O4" s="5">
        <f>N4/E4</f>
        <v/>
      </c>
      <c r="P4" s="5">
        <f>N4/H4</f>
        <v/>
      </c>
      <c r="Q4" t="inlineStr">
        <is>
          <t>NO COMPRAR</t>
        </is>
      </c>
      <c r="R4" t="inlineStr">
        <is>
          <t>OK Alm:3 FBA:5</t>
        </is>
      </c>
      <c r="S4" t="inlineStr"/>
      <c r="T4" t="inlineStr">
        <is>
          <t>Titulo de prueba Alfa</t>
        </is>
      </c>
      <c r="U4" t="inlineStr">
        <is>
          <t>SI</t>
        </is>
      </c>
      <c r="V4" t="inlineStr">
        <is>
          <t>OK</t>
        </is>
      </c>
      <c r="W4" t="inlineStr">
        <is>
          <t>2/2 casan; entre esos, mejor rank (casa: alfa)</t>
        </is>
      </c>
      <c r="X4" t="inlineStr">
        <is>
          <t>—</t>
        </is>
      </c>
      <c r="Y4" t="inlineStr"/>
      <c r="Z4" s="3">
        <f>L4*0.03</f>
        <v/>
      </c>
      <c r="AA4" t="inlineStr">
        <is>
          <t>general FR 20%</t>
        </is>
      </c>
    </row>
    <row r="5">
      <c r="A5" t="inlineStr">
        <is>
          <t>Producto de prueba Alfa</t>
        </is>
      </c>
      <c r="B5" t="inlineStr">
        <is>
          <t>8400000000017</t>
        </is>
      </c>
      <c r="C5" s="2" t="inlineStr">
        <is>
          <t>B0PRUEBA01</t>
        </is>
      </c>
      <c r="D5" t="inlineStr">
        <is>
          <t>Marca Uno</t>
        </is>
      </c>
      <c r="E5" s="3" t="n">
        <v>4</v>
      </c>
      <c r="F5" t="inlineStr">
        <is>
          <t>DE</t>
        </is>
      </c>
      <c r="G5" t="n">
        <v>12</v>
      </c>
      <c r="H5" s="3" t="n"/>
      <c r="I5" t="inlineStr">
        <is>
          <t>BB-FBA</t>
        </is>
      </c>
      <c r="J5" s="4" t="n"/>
      <c r="K5" s="3" t="n"/>
      <c r="L5" s="3" t="n"/>
      <c r="M5" s="3" t="n">
        <v>0.15</v>
      </c>
      <c r="N5" s="3" t="n"/>
      <c r="O5" s="5" t="n"/>
      <c r="P5" s="5" t="n"/>
      <c r="Q5" t="inlineStr">
        <is>
          <t>Sin datos</t>
        </is>
      </c>
      <c r="R5" t="inlineStr">
        <is>
          <t>OK Alm:3 FBA:5</t>
        </is>
      </c>
      <c r="S5" t="inlineStr"/>
      <c r="T5" t="inlineStr">
        <is>
          <t>Titulo de prueba Alfa</t>
        </is>
      </c>
      <c r="U5" t="inlineStr">
        <is>
          <t>SI</t>
        </is>
      </c>
      <c r="V5" t="inlineStr">
        <is>
          <t>OK</t>
        </is>
      </c>
      <c r="W5" t="inlineStr">
        <is>
          <t>2/2 casan; entre esos, mejor rank (casa: alfa)</t>
        </is>
      </c>
      <c r="X5" t="inlineStr">
        <is>
          <t>—</t>
        </is>
      </c>
      <c r="Y5" t="inlineStr"/>
      <c r="Z5" s="3" t="n">
        <v>0</v>
      </c>
      <c r="AA5" t="inlineStr">
        <is>
          <t>general DE 19%</t>
        </is>
      </c>
    </row>
    <row r="6">
      <c r="A6" t="inlineStr">
        <is>
          <t>Producto de prueba Beta (caja x6)</t>
        </is>
      </c>
      <c r="B6" t="inlineStr">
        <is>
          <t>8400000000024 C6</t>
        </is>
      </c>
      <c r="C6" s="2" t="inlineStr">
        <is>
          <t>B0PRUEBA02</t>
        </is>
      </c>
      <c r="D6" t="inlineStr">
        <is>
          <t>Marca Dos</t>
        </is>
      </c>
      <c r="E6" s="3" t="n">
        <v>2.5</v>
      </c>
      <c r="F6" t="inlineStr">
        <is>
          <t>ES</t>
        </is>
      </c>
      <c r="G6" t="n">
        <v>12</v>
      </c>
      <c r="H6" s="3" t="n">
        <v>9.99</v>
      </c>
      <c r="I6" t="inlineStr">
        <is>
          <t>BB-FBA</t>
        </is>
      </c>
      <c r="J6" s="4" t="n">
        <v>0.1545</v>
      </c>
      <c r="K6" s="3">
        <f>H6*J6+Z6</f>
        <v/>
      </c>
      <c r="L6" s="3" t="n">
        <v>3.1</v>
      </c>
      <c r="M6" s="3" t="n">
        <v>0.15</v>
      </c>
      <c r="N6" s="3">
        <f>(H6/1.21)-E6-K6-L6-M6</f>
        <v/>
      </c>
      <c r="O6" s="5">
        <f>N6/E6</f>
        <v/>
      </c>
      <c r="P6" s="5">
        <f>N6/H6</f>
        <v/>
      </c>
      <c r="Q6" t="inlineStr">
        <is>
          <t>VALORAR</t>
        </is>
      </c>
      <c r="R6" t="inlineStr">
        <is>
          <t>OK Alm:0 FBA:2</t>
        </is>
      </c>
      <c r="S6" t="inlineStr">
        <is>
          <t>AMBIGUO</t>
        </is>
      </c>
      <c r="T6" t="inlineStr">
        <is>
          <t>Titulo de prueba Beta</t>
        </is>
      </c>
      <c r="U6" t="inlineStr">
        <is>
          <t>NO</t>
        </is>
      </c>
      <c r="V6" t="inlineStr">
        <is>
          <t>⚠ DUDOSO</t>
        </is>
      </c>
      <c r="W6" t="inlineStr">
        <is>
          <t>ninguno pasa el filtro — REVISAR</t>
        </is>
      </c>
      <c r="X6" t="inlineStr">
        <is>
          <t>INCOHERENTE: la caja sale a 1.00 €/ud y la unidad suelta del MISMO EAN esta a 5.00 €</t>
        </is>
      </c>
      <c r="Y6" s="2" t="inlineStr">
        <is>
          <t>Ver ficha ↗</t>
        </is>
      </c>
      <c r="Z6" s="3" t="n">
        <v>0</v>
      </c>
      <c r="AA6" t="inlineStr">
        <is>
          <t>asumido 21%</t>
        </is>
      </c>
    </row>
    <row r="7">
      <c r="A7" t="inlineStr">
        <is>
          <t>Producto de prueba Beta (caja x6)</t>
        </is>
      </c>
      <c r="B7" t="inlineStr">
        <is>
          <t>8400000000024 C6</t>
        </is>
      </c>
      <c r="C7" s="2" t="inlineStr">
        <is>
          <t>B0PRUEBA02</t>
        </is>
      </c>
      <c r="D7" t="inlineStr">
        <is>
          <t>Marca Dos</t>
        </is>
      </c>
      <c r="E7" s="3" t="n">
        <v>2.5</v>
      </c>
      <c r="F7" t="inlineStr">
        <is>
          <t>IT</t>
        </is>
      </c>
      <c r="H7" s="3" t="n"/>
      <c r="I7" t="inlineStr">
        <is>
          <t>sin datos</t>
        </is>
      </c>
      <c r="J7" s="4" t="n"/>
      <c r="K7" s="3" t="n"/>
      <c r="L7" s="3" t="n"/>
      <c r="M7" s="3" t="n">
        <v>0.15</v>
      </c>
      <c r="N7" s="3" t="n"/>
      <c r="O7" s="5" t="n"/>
      <c r="P7" s="5" t="n"/>
      <c r="Q7" t="inlineStr">
        <is>
          <t>Sin datos</t>
        </is>
      </c>
      <c r="R7" t="inlineStr">
        <is>
          <t>OK Alm:0 FBA:2</t>
        </is>
      </c>
      <c r="S7" t="inlineStr">
        <is>
          <t>AMBIGUO</t>
        </is>
      </c>
      <c r="T7" t="inlineStr">
        <is>
          <t>Titulo de prueba Beta</t>
        </is>
      </c>
      <c r="U7" t="inlineStr">
        <is>
          <t>NO</t>
        </is>
      </c>
      <c r="V7" t="inlineStr">
        <is>
          <t>⚠ DUDOSO</t>
        </is>
      </c>
      <c r="W7" t="inlineStr">
        <is>
          <t>ninguno pasa el filtro — REVISAR</t>
        </is>
      </c>
      <c r="X7" t="inlineStr">
        <is>
          <t>INCOHERENTE: la caja sale a 1.00 €/ud y la unidad suelta del MISMO EAN esta a 5.00 €</t>
        </is>
      </c>
      <c r="Y7" s="2" t="inlineStr">
        <is>
          <t>Ver ficha ↗</t>
        </is>
      </c>
      <c r="Z7" s="3" t="n">
        <v>0</v>
      </c>
      <c r="AA7" t="inlineStr">
        <is>
          <t>—</t>
        </is>
      </c>
    </row>
    <row r="8">
      <c r="A8" t="inlineStr">
        <is>
          <t>Producto de prueba Beta (caja x6)</t>
        </is>
      </c>
      <c r="B8" t="inlineStr">
        <is>
          <t>8400000000024 C6</t>
        </is>
      </c>
      <c r="C8" s="2" t="inlineStr">
        <is>
          <t>B0PRUEBA02</t>
        </is>
      </c>
      <c r="D8" t="inlineStr">
        <is>
          <t>Marca Dos</t>
        </is>
      </c>
      <c r="E8" s="3" t="n">
        <v>2.5</v>
      </c>
      <c r="F8" t="inlineStr">
        <is>
          <t>FR</t>
        </is>
      </c>
      <c r="G8" t="n">
        <v>12</v>
      </c>
      <c r="H8" s="3" t="n">
        <v>11.5</v>
      </c>
      <c r="I8" t="inlineStr">
        <is>
          <t>BB-FBA</t>
        </is>
      </c>
      <c r="J8" s="4" t="n">
        <v>0.1545</v>
      </c>
      <c r="K8" s="3">
        <f>H8*J8+Z8</f>
        <v/>
      </c>
      <c r="L8" s="3" t="n">
        <v>3.1</v>
      </c>
      <c r="M8" s="3" t="n">
        <v>0.15</v>
      </c>
      <c r="N8" s="3">
        <f>(H8/1.2)-E8-K8-L8-M8</f>
        <v/>
      </c>
      <c r="O8" s="5">
        <f>N8/E8</f>
        <v/>
      </c>
      <c r="P8" s="5">
        <f>N8/H8</f>
        <v/>
      </c>
      <c r="Q8" t="inlineStr">
        <is>
          <t>COMPRAR</t>
        </is>
      </c>
      <c r="R8" t="inlineStr">
        <is>
          <t>OK Alm:0 FBA:2</t>
        </is>
      </c>
      <c r="S8" t="inlineStr">
        <is>
          <t>AMBIGUO</t>
        </is>
      </c>
      <c r="T8" t="inlineStr">
        <is>
          <t>Titulo de prueba Beta</t>
        </is>
      </c>
      <c r="U8" t="inlineStr">
        <is>
          <t>NO</t>
        </is>
      </c>
      <c r="V8" t="inlineStr">
        <is>
          <t>⚠ DUDOSO</t>
        </is>
      </c>
      <c r="W8" t="inlineStr">
        <is>
          <t>ninguno pasa el filtro — REVISAR</t>
        </is>
      </c>
      <c r="X8" t="inlineStr">
        <is>
          <t>INCOHERENTE: la caja sale a 1.00 €/ud y la unidad suelta del MISMO EAN esta a 5.00 €</t>
        </is>
      </c>
      <c r="Y8" s="2" t="inlineStr">
        <is>
          <t>Ver ficha ↗</t>
        </is>
      </c>
      <c r="Z8" s="3">
        <f>L8*0.03</f>
        <v/>
      </c>
      <c r="AA8" t="inlineStr">
        <is>
          <t>general FR 20%</t>
        </is>
      </c>
    </row>
    <row r="9">
      <c r="A9" t="inlineStr">
        <is>
          <t>Producto de prueba Beta (caja x6)</t>
        </is>
      </c>
      <c r="B9" t="inlineStr">
        <is>
          <t>8400000000024 C6</t>
        </is>
      </c>
      <c r="C9" s="2" t="inlineStr">
        <is>
          <t>B0PRUEBA02</t>
        </is>
      </c>
      <c r="D9" t="inlineStr">
        <is>
          <t>Marca Dos</t>
        </is>
      </c>
      <c r="E9" s="3" t="n">
        <v>2.5</v>
      </c>
      <c r="F9" t="inlineStr">
        <is>
          <t>DE</t>
        </is>
      </c>
      <c r="H9" s="3" t="n"/>
      <c r="I9" t="inlineStr">
        <is>
          <t>sin datos</t>
        </is>
      </c>
      <c r="J9" s="4" t="n"/>
      <c r="K9" s="3" t="n"/>
      <c r="L9" s="3" t="n"/>
      <c r="M9" s="3" t="n">
        <v>0.15</v>
      </c>
      <c r="N9" s="3" t="n"/>
      <c r="O9" s="5" t="n"/>
      <c r="P9" s="5" t="n"/>
      <c r="Q9" t="inlineStr">
        <is>
          <t>Sin datos</t>
        </is>
      </c>
      <c r="R9" t="inlineStr">
        <is>
          <t>OK Alm:0 FBA:2</t>
        </is>
      </c>
      <c r="S9" t="inlineStr">
        <is>
          <t>AMBIGUO</t>
        </is>
      </c>
      <c r="T9" t="inlineStr">
        <is>
          <t>Titulo de prueba Beta</t>
        </is>
      </c>
      <c r="U9" t="inlineStr">
        <is>
          <t>NO</t>
        </is>
      </c>
      <c r="V9" t="inlineStr">
        <is>
          <t>⚠ DUDOSO</t>
        </is>
      </c>
      <c r="W9" t="inlineStr">
        <is>
          <t>ninguno pasa el filtro — REVISAR</t>
        </is>
      </c>
      <c r="X9" t="inlineStr">
        <is>
          <t>INCOHERENTE: la caja sale a 1.00 €/ud y la unidad suelta del MISMO EAN esta a 5.00 €</t>
        </is>
      </c>
      <c r="Y9" s="2" t="inlineStr">
        <is>
          <t>Ver ficha ↗</t>
        </is>
      </c>
      <c r="Z9" s="3" t="n">
        <v>0</v>
      </c>
      <c r="AA9" t="inlineStr">
        <is>
          <t>—</t>
        </is>
      </c>
    </row>
    <row r="10">
      <c r="A10" t="inlineStr">
        <is>
          <t>Producto de prueba Gamma</t>
        </is>
      </c>
      <c r="B10" t="inlineStr">
        <is>
          <t>8400000000031</t>
        </is>
      </c>
      <c r="C10" s="2" t="inlineStr">
        <is>
          <t>B0PRUEBA03</t>
        </is>
      </c>
      <c r="D10" t="inlineStr">
        <is>
          <t>Marca Tres</t>
        </is>
      </c>
      <c r="E10" s="3" t="n"/>
      <c r="F10" t="inlineStr">
        <is>
          <t>ES</t>
        </is>
      </c>
      <c r="G10" t="n">
        <v>12</v>
      </c>
      <c r="H10" s="3" t="n">
        <v>14</v>
      </c>
      <c r="I10" t="inlineStr">
        <is>
          <t>BB-FBA</t>
        </is>
      </c>
      <c r="J10" s="4" t="n">
        <v>0.1545</v>
      </c>
      <c r="K10" s="3">
        <f>H10*J10+Z10</f>
        <v/>
      </c>
      <c r="L10" s="3" t="n">
        <v>3.1</v>
      </c>
      <c r="M10" s="3" t="n">
        <v>0.15</v>
      </c>
      <c r="N10" s="3" t="n"/>
      <c r="O10" s="5" t="n"/>
      <c r="P10" s="5" t="n"/>
      <c r="Q10" t="inlineStr">
        <is>
          <t>Sin datos</t>
        </is>
      </c>
      <c r="R10" t="inlineStr"/>
      <c r="S10" t="inlineStr"/>
      <c r="T10" t="inlineStr"/>
      <c r="V10" t="inlineStr">
        <is>
          <t>n/d</t>
        </is>
      </c>
      <c r="W10" t="inlineStr">
        <is>
          <t>n/d: sin texto que comparar</t>
        </is>
      </c>
      <c r="X10" t="inlineStr">
        <is>
          <t>—</t>
        </is>
      </c>
      <c r="Y10" s="2" t="inlineStr">
        <is>
          <t>Ver ficha ↗</t>
        </is>
      </c>
      <c r="Z10" s="3" t="n">
        <v>0</v>
      </c>
      <c r="AA10" t="inlineStr">
        <is>
          <t>asumido 21%</t>
        </is>
      </c>
    </row>
    <row r="11">
      <c r="A11" t="inlineStr">
        <is>
          <t>Producto de prueba Gamma</t>
        </is>
      </c>
      <c r="B11" t="inlineStr">
        <is>
          <t>8400000000031</t>
        </is>
      </c>
      <c r="C11" s="2" t="inlineStr">
        <is>
          <t>B0PRUEBA03</t>
        </is>
      </c>
      <c r="D11" t="inlineStr">
        <is>
          <t>Marca Tres</t>
        </is>
      </c>
      <c r="E11" s="3" t="n"/>
      <c r="F11" t="inlineStr">
        <is>
          <t>IT</t>
        </is>
      </c>
      <c r="H11" s="3" t="n"/>
      <c r="I11" t="inlineStr">
        <is>
          <t>sin datos</t>
        </is>
      </c>
      <c r="J11" s="4" t="n"/>
      <c r="K11" s="3" t="n"/>
      <c r="L11" s="3" t="n"/>
      <c r="M11" s="3" t="n">
        <v>0.15</v>
      </c>
      <c r="N11" s="3" t="n"/>
      <c r="O11" s="5" t="n"/>
      <c r="P11" s="5" t="n"/>
      <c r="Q11" t="inlineStr">
        <is>
          <t>Sin datos</t>
        </is>
      </c>
      <c r="R11" t="inlineStr"/>
      <c r="S11" t="inlineStr"/>
      <c r="T11" t="inlineStr"/>
      <c r="V11" t="inlineStr">
        <is>
          <t>n/d</t>
        </is>
      </c>
      <c r="W11" t="inlineStr">
        <is>
          <t>n/d: sin texto que comparar</t>
        </is>
      </c>
      <c r="X11" t="inlineStr">
        <is>
          <t>—</t>
        </is>
      </c>
      <c r="Y11" s="2" t="inlineStr">
        <is>
          <t>Ver ficha ↗</t>
        </is>
      </c>
      <c r="Z11" s="3" t="n">
        <v>0</v>
      </c>
      <c r="AA11" t="inlineStr">
        <is>
          <t>—</t>
        </is>
      </c>
    </row>
    <row r="12">
      <c r="A12" t="inlineStr">
        <is>
          <t>Producto de prueba Gamma</t>
        </is>
      </c>
      <c r="B12" t="inlineStr">
        <is>
          <t>8400000000031</t>
        </is>
      </c>
      <c r="C12" s="2" t="inlineStr">
        <is>
          <t>B0PRUEBA03</t>
        </is>
      </c>
      <c r="D12" t="inlineStr">
        <is>
          <t>Marca Tres</t>
        </is>
      </c>
      <c r="E12" s="3" t="n"/>
      <c r="F12" t="inlineStr">
        <is>
          <t>FR</t>
        </is>
      </c>
      <c r="H12" s="3" t="n"/>
      <c r="I12" t="inlineStr">
        <is>
          <t>sin datos</t>
        </is>
      </c>
      <c r="J12" s="4" t="n"/>
      <c r="K12" s="3" t="n"/>
      <c r="L12" s="3" t="n"/>
      <c r="M12" s="3" t="n">
        <v>0.15</v>
      </c>
      <c r="N12" s="3" t="n"/>
      <c r="O12" s="5" t="n"/>
      <c r="P12" s="5" t="n"/>
      <c r="Q12" t="inlineStr">
        <is>
          <t>Sin datos</t>
        </is>
      </c>
      <c r="R12" t="inlineStr"/>
      <c r="S12" t="inlineStr"/>
      <c r="T12" t="inlineStr"/>
      <c r="V12" t="inlineStr">
        <is>
          <t>n/d</t>
        </is>
      </c>
      <c r="W12" t="inlineStr">
        <is>
          <t>n/d: sin texto que comparar</t>
        </is>
      </c>
      <c r="X12" t="inlineStr">
        <is>
          <t>—</t>
        </is>
      </c>
      <c r="Y12" s="2" t="inlineStr">
        <is>
          <t>Ver ficha ↗</t>
        </is>
      </c>
      <c r="Z12" s="3" t="n">
        <v>0</v>
      </c>
      <c r="AA12" t="inlineStr">
        <is>
          <t>—</t>
        </is>
      </c>
    </row>
    <row r="13">
      <c r="A13" t="inlineStr">
        <is>
          <t>Producto de prueba Gamma</t>
        </is>
      </c>
      <c r="B13" t="inlineStr">
        <is>
          <t>8400000000031</t>
        </is>
      </c>
      <c r="C13" s="2" t="inlineStr">
        <is>
          <t>B0PRUEBA03</t>
        </is>
      </c>
      <c r="D13" t="inlineStr">
        <is>
          <t>Marca Tres</t>
        </is>
      </c>
      <c r="E13" s="3" t="n"/>
      <c r="F13" t="inlineStr">
        <is>
          <t>DE</t>
        </is>
      </c>
      <c r="H13" s="3" t="n"/>
      <c r="I13" t="inlineStr">
        <is>
          <t>sin datos</t>
        </is>
      </c>
      <c r="J13" s="4" t="n"/>
      <c r="K13" s="3" t="n"/>
      <c r="L13" s="3" t="n"/>
      <c r="M13" s="3" t="n">
        <v>0.15</v>
      </c>
      <c r="N13" s="3" t="n"/>
      <c r="O13" s="5" t="n"/>
      <c r="P13" s="5" t="n"/>
      <c r="Q13" t="inlineStr">
        <is>
          <t>Sin datos</t>
        </is>
      </c>
      <c r="R13" t="inlineStr"/>
      <c r="S13" t="inlineStr"/>
      <c r="T13" t="inlineStr"/>
      <c r="V13" t="inlineStr">
        <is>
          <t>n/d</t>
        </is>
      </c>
      <c r="W13" t="inlineStr">
        <is>
          <t>n/d: sin texto que comparar</t>
        </is>
      </c>
      <c r="X13" t="inlineStr">
        <is>
          <t>—</t>
        </is>
      </c>
      <c r="Y13" s="2" t="inlineStr">
        <is>
          <t>Ver ficha ↗</t>
        </is>
      </c>
      <c r="Z13" s="3" t="n">
        <v>0</v>
      </c>
      <c r="AA13" t="inlineStr">
        <is>
          <t>—</t>
        </is>
      </c>
    </row>
    <row r="14">
      <c r="A14" t="inlineStr">
        <is>
          <t>Producto de prueba Delta</t>
        </is>
      </c>
      <c r="B14" t="inlineStr">
        <is>
          <t>8400000000048</t>
        </is>
      </c>
      <c r="C14" s="2" t="inlineStr">
        <is>
          <t>B0PRUEBA04</t>
        </is>
      </c>
      <c r="D14" t="inlineStr">
        <is>
          <t>Marca Uno</t>
        </is>
      </c>
      <c r="E14" s="3" t="n">
        <v>6</v>
      </c>
      <c r="F14" t="inlineStr">
        <is>
          <t>ES</t>
        </is>
      </c>
      <c r="G14" t="n">
        <v>12</v>
      </c>
      <c r="H14" s="3" t="n">
        <v>8</v>
      </c>
      <c r="I14" t="inlineStr">
        <is>
          <t>BB-FBA</t>
        </is>
      </c>
      <c r="J14" s="4" t="n">
        <v>0.1545</v>
      </c>
      <c r="K14" s="3">
        <f>H14*J14+Z14</f>
        <v/>
      </c>
      <c r="L14" s="3" t="n">
        <v>3.1</v>
      </c>
      <c r="M14" s="3" t="n">
        <v>0.15</v>
      </c>
      <c r="N14" s="3">
        <f>(H14/1.21)-E14-K14-L14-M14</f>
        <v/>
      </c>
      <c r="O14" s="5">
        <f>N14/E14</f>
        <v/>
      </c>
      <c r="P14" s="5">
        <f>N14/H14</f>
        <v/>
      </c>
      <c r="Q14" t="inlineStr">
        <is>
          <t>NO COMPRAR</t>
        </is>
      </c>
      <c r="R14" t="inlineStr"/>
      <c r="S14" t="inlineStr"/>
      <c r="T14" t="inlineStr">
        <is>
          <t>Titulo Delta</t>
        </is>
      </c>
      <c r="V14" t="inlineStr">
        <is>
          <t>—</t>
        </is>
      </c>
      <c r="W14" t="inlineStr">
        <is>
          <t>—</t>
        </is>
      </c>
      <c r="X14" t="inlineStr">
        <is>
          <t>—</t>
        </is>
      </c>
      <c r="Y14" t="inlineStr"/>
      <c r="Z14" s="3" t="n">
        <v>0</v>
      </c>
      <c r="AA14" t="inlineStr">
        <is>
          <t>asumido 21%</t>
        </is>
      </c>
    </row>
    <row r="15">
      <c r="A15" t="inlineStr">
        <is>
          <t>Producto de prueba Delta</t>
        </is>
      </c>
      <c r="B15" t="inlineStr">
        <is>
          <t>8400000000048</t>
        </is>
      </c>
      <c r="C15" s="2" t="inlineStr">
        <is>
          <t>B0PRUEBA04</t>
        </is>
      </c>
      <c r="D15" t="inlineStr">
        <is>
          <t>Marca Uno</t>
        </is>
      </c>
      <c r="E15" s="3" t="n">
        <v>6</v>
      </c>
      <c r="F15" t="inlineStr">
        <is>
          <t>IT</t>
        </is>
      </c>
      <c r="G15" t="n">
        <v>12</v>
      </c>
      <c r="H15" s="3" t="n">
        <v>8.5</v>
      </c>
      <c r="I15" t="inlineStr">
        <is>
          <t>BB-FBA</t>
        </is>
      </c>
      <c r="J15" s="4" t="n">
        <v>0.1545</v>
      </c>
      <c r="K15" s="3">
        <f>H15*J15+Z15</f>
        <v/>
      </c>
      <c r="L15" s="3" t="n">
        <v>3.1</v>
      </c>
      <c r="M15" s="3" t="n">
        <v>0.15</v>
      </c>
      <c r="N15" s="3">
        <f>(H15/1.22)-E15-K15-L15-M15</f>
        <v/>
      </c>
      <c r="O15" s="5">
        <f>N15/E15</f>
        <v/>
      </c>
      <c r="P15" s="5">
        <f>N15/H15</f>
        <v/>
      </c>
      <c r="Q15" t="inlineStr">
        <is>
          <t>NO COMPRAR</t>
        </is>
      </c>
      <c r="R15" t="inlineStr"/>
      <c r="S15" t="inlineStr"/>
      <c r="T15" t="inlineStr">
        <is>
          <t>Titulo Delta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  <c r="Y15" t="inlineStr"/>
      <c r="Z15" s="3" t="n">
        <v>0</v>
      </c>
      <c r="AA15" t="inlineStr">
        <is>
          <t>general IT 22%</t>
        </is>
      </c>
    </row>
    <row r="16">
      <c r="A16" t="inlineStr">
        <is>
          <t>Producto de prueba Delta</t>
        </is>
      </c>
      <c r="B16" t="inlineStr">
        <is>
          <t>8400000000048</t>
        </is>
      </c>
      <c r="C16" s="2" t="inlineStr">
        <is>
          <t>B0PRUEBA04</t>
        </is>
      </c>
      <c r="D16" t="inlineStr">
        <is>
          <t>Marca Uno</t>
        </is>
      </c>
      <c r="E16" s="3" t="n">
        <v>6</v>
      </c>
      <c r="F16" t="inlineStr">
        <is>
          <t>FR</t>
        </is>
      </c>
      <c r="H16" s="3" t="n"/>
      <c r="I16" t="inlineStr">
        <is>
          <t>sin datos</t>
        </is>
      </c>
      <c r="J16" s="4" t="n"/>
      <c r="K16" s="3" t="n"/>
      <c r="L16" s="3" t="n"/>
      <c r="M16" s="3" t="n">
        <v>0.15</v>
      </c>
      <c r="N16" s="3" t="n"/>
      <c r="O16" s="5" t="n"/>
      <c r="P16" s="5" t="n"/>
      <c r="Q16" t="inlineStr">
        <is>
          <t>Sin datos</t>
        </is>
      </c>
      <c r="R16" t="inlineStr"/>
      <c r="S16" t="inlineStr"/>
      <c r="T16" t="inlineStr">
        <is>
          <t>Titulo Delta</t>
        </is>
      </c>
      <c r="V16" t="inlineStr">
        <is>
          <t>—</t>
        </is>
      </c>
      <c r="W16" t="inlineStr">
        <is>
          <t>—</t>
        </is>
      </c>
      <c r="X16" t="inlineStr">
        <is>
          <t>—</t>
        </is>
      </c>
      <c r="Y16" t="inlineStr"/>
      <c r="Z16" s="3" t="n">
        <v>0</v>
      </c>
      <c r="AA16" t="inlineStr">
        <is>
          <t>—</t>
        </is>
      </c>
    </row>
    <row r="17">
      <c r="A17" t="inlineStr">
        <is>
          <t>Producto de prueba Delta</t>
        </is>
      </c>
      <c r="B17" t="inlineStr">
        <is>
          <t>8400000000048</t>
        </is>
      </c>
      <c r="C17" s="2" t="inlineStr">
        <is>
          <t>B0PRUEBA04</t>
        </is>
      </c>
      <c r="D17" t="inlineStr">
        <is>
          <t>Marca Uno</t>
        </is>
      </c>
      <c r="E17" s="3" t="n">
        <v>6</v>
      </c>
      <c r="F17" t="inlineStr">
        <is>
          <t>DE</t>
        </is>
      </c>
      <c r="H17" s="3" t="n"/>
      <c r="I17" t="inlineStr">
        <is>
          <t>sin datos</t>
        </is>
      </c>
      <c r="J17" s="4" t="n"/>
      <c r="K17" s="3" t="n"/>
      <c r="L17" s="3" t="n"/>
      <c r="M17" s="3" t="n">
        <v>0.15</v>
      </c>
      <c r="N17" s="3" t="n"/>
      <c r="O17" s="5" t="n"/>
      <c r="P17" s="5" t="n"/>
      <c r="Q17" t="inlineStr">
        <is>
          <t>Sin datos</t>
        </is>
      </c>
      <c r="R17" t="inlineStr"/>
      <c r="S17" t="inlineStr"/>
      <c r="T17" t="inlineStr">
        <is>
          <t>Titulo Delta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/>
      <c r="Z17" s="3" t="n">
        <v>0</v>
      </c>
      <c r="AA17" t="inlineStr">
        <is>
          <t>—</t>
        </is>
      </c>
    </row>
  </sheetData>
  <conditionalFormatting sqref="Q2:Q17">
    <cfRule type="expression" priority="1" dxfId="0" stopIfTrue="1">
      <formula>ISNUMBER(SEARCH("NO COMPRAR",Q2))</formula>
    </cfRule>
    <cfRule type="expression" priority="2" dxfId="1" stopIfTrue="1">
      <formula>ISNUMBER(SEARCH("VALORAR",Q2))</formula>
    </cfRule>
    <cfRule type="expression" priority="3" dxfId="2" stopIfTrue="1">
      <formula>ISNUMBER(SEARCH("COMPRAR",Q2))</formula>
    </cfRule>
    <cfRule type="expression" priority="4" dxfId="3" stopIfTrue="1">
      <formula>ISNUMBER(SEARCH("Sin datos",Q2))</formula>
    </cfRule>
  </conditionalFormatting>
  <conditionalFormatting sqref="P2:P17">
    <cfRule type="cellIs" priority="5" operator="greaterThan" dxfId="4">
      <formula>0.1</formula>
    </cfRule>
  </conditionalFormatting>
  <conditionalFormatting sqref="U2:U17">
    <cfRule type="expression" priority="6" dxfId="0">
      <formula>ISNUMBER(SEARCH("NO",U2))</formula>
    </cfRule>
  </conditionalFormatting>
  <conditionalFormatting sqref="V2:V17">
    <cfRule type="expression" priority="7" dxfId="0" stopIfTrue="1">
      <formula>ISNUMBER(SEARCH("DUDOSO",V2))</formula>
    </cfRule>
    <cfRule type="expression" priority="8" dxfId="3" stopIfTrue="1">
      <formula>ISNUMBER(SEARCH("n/d",V2))</formula>
    </cfRule>
    <cfRule type="expression" priority="9" dxfId="2" stopIfTrue="1">
      <formula>ISNUMBER(SEARCH("OK",V2))</formula>
    </cfRule>
  </conditionalFormatting>
  <conditionalFormatting sqref="X2:X17">
    <cfRule type="expression" priority="10" dxfId="0">
      <formula>ISNUMBER(SEARCH("INCOHERENTE",X2))</formula>
    </cfRule>
  </conditionalFormatting>
  <conditionalFormatting sqref="A2:AA17">
    <cfRule type="expression" priority="11" dxfId="5">
      <formula>ISODD(INT((ROW()-2)/4))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Y6" r:id="rId6"/>
    <hyperlink xmlns:r="http://schemas.openxmlformats.org/officeDocument/2006/relationships" ref="C7" r:id="rId7"/>
    <hyperlink xmlns:r="http://schemas.openxmlformats.org/officeDocument/2006/relationships" ref="Y7" r:id="rId8"/>
    <hyperlink xmlns:r="http://schemas.openxmlformats.org/officeDocument/2006/relationships" ref="C8" r:id="rId9"/>
    <hyperlink xmlns:r="http://schemas.openxmlformats.org/officeDocument/2006/relationships" ref="Y8" r:id="rId10"/>
    <hyperlink xmlns:r="http://schemas.openxmlformats.org/officeDocument/2006/relationships" ref="C9" r:id="rId11"/>
    <hyperlink xmlns:r="http://schemas.openxmlformats.org/officeDocument/2006/relationships" ref="Y9" r:id="rId12"/>
    <hyperlink xmlns:r="http://schemas.openxmlformats.org/officeDocument/2006/relationships" ref="C10" r:id="rId13"/>
    <hyperlink xmlns:r="http://schemas.openxmlformats.org/officeDocument/2006/relationships" ref="Y10" r:id="rId14"/>
    <hyperlink xmlns:r="http://schemas.openxmlformats.org/officeDocument/2006/relationships" ref="C11" r:id="rId15"/>
    <hyperlink xmlns:r="http://schemas.openxmlformats.org/officeDocument/2006/relationships" ref="Y11" r:id="rId16"/>
    <hyperlink xmlns:r="http://schemas.openxmlformats.org/officeDocument/2006/relationships" ref="C12" r:id="rId17"/>
    <hyperlink xmlns:r="http://schemas.openxmlformats.org/officeDocument/2006/relationships" ref="Y12" r:id="rId18"/>
    <hyperlink xmlns:r="http://schemas.openxmlformats.org/officeDocument/2006/relationships" ref="C13" r:id="rId19"/>
    <hyperlink xmlns:r="http://schemas.openxmlformats.org/officeDocument/2006/relationships" ref="Y13" r:id="rId20"/>
    <hyperlink xmlns:r="http://schemas.openxmlformats.org/officeDocument/2006/relationships" ref="C14" r:id="rId21"/>
    <hyperlink xmlns:r="http://schemas.openxmlformats.org/officeDocument/2006/relationships" ref="C15" r:id="rId22"/>
    <hyperlink xmlns:r="http://schemas.openxmlformats.org/officeDocument/2006/relationships" ref="C16" r:id="rId23"/>
    <hyperlink xmlns:r="http://schemas.openxmlformats.org/officeDocument/2006/relationships" ref="C17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Cabecera</t>
        </is>
      </c>
      <c r="C1" t="inlineStr">
        <is>
          <t>Motivo</t>
        </is>
      </c>
    </row>
    <row r="2">
      <c r="A2" t="inlineStr">
        <is>
          <t>12345</t>
        </is>
      </c>
      <c r="B2" t="inlineStr">
        <is>
          <t>Prueba forma rara</t>
        </is>
      </c>
      <c r="C2" t="inlineStr">
        <is>
          <t>EAN forma rara (len=5)</t>
        </is>
      </c>
    </row>
    <row r="3">
      <c r="A3" t="inlineStr">
        <is>
          <t>8400000000055</t>
        </is>
      </c>
      <c r="B3" t="inlineStr">
        <is>
          <t>Prueba no aparece</t>
        </is>
      </c>
      <c r="C3" t="inlineStr">
        <is>
          <t>No aparece en ningún CSV</t>
        </is>
      </c>
    </row>
    <row r="4">
      <c r="A4" t="inlineStr">
        <is>
          <t>8400000000062</t>
        </is>
      </c>
      <c r="B4" t="inlineStr">
        <is>
          <t>Prueba Chase</t>
        </is>
      </c>
      <c r="C4" t="inlineStr">
        <is>
          <t>Chase SUELTO descartado (solo se compra en caja de 6)</t>
        </is>
      </c>
    </row>
    <row r="5">
      <c r="A5" t="inlineStr">
        <is>
          <t>8400000000017</t>
        </is>
      </c>
      <c r="B5" t="inlineStr">
        <is>
          <t>Prueba duplicada</t>
        </is>
      </c>
      <c r="C5" t="inlineStr">
        <is>
          <t>Duplicado del proveedor: me quedo con 4.0 (esta venía a 5.0)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asin_elegido</t>
        </is>
      </c>
    </row>
    <row r="2">
      <c r="A2" t="inlineStr">
        <is>
          <t>8400000000024 C6</t>
        </is>
      </c>
      <c r="B2" t="inlineStr">
        <is>
          <t>B0PRUEBA02</t>
        </is>
      </c>
    </row>
    <row r="3">
      <c r="A3" t="inlineStr">
        <is>
          <t>8400000000079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ASIN</t>
        </is>
      </c>
      <c r="C1" t="inlineStr">
        <is>
          <t>Nombre</t>
        </is>
      </c>
      <c r="D1" t="inlineStr">
        <is>
          <t>rank_act</t>
        </is>
      </c>
      <c r="E1" t="inlineStr">
        <is>
          <t>rank90</t>
        </is>
      </c>
    </row>
    <row r="2">
      <c r="A2" t="inlineStr">
        <is>
          <t>8400000000086</t>
        </is>
      </c>
      <c r="B2" t="inlineStr">
        <is>
          <t>B0PRUEBA08</t>
        </is>
      </c>
      <c r="C2" t="inlineStr">
        <is>
          <t>Prueba sin rank</t>
        </is>
      </c>
      <c r="E2" t="n">
        <v>88000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13" max="13"/>
    <col width="46" customWidth="1" min="14" max="14"/>
  </cols>
  <sheetData>
    <row r="1">
      <c r="A1" s="1" t="inlineStr">
        <is>
          <t>Nombre</t>
        </is>
      </c>
      <c r="B1" s="1" t="inlineStr">
        <is>
          <t>EAN</t>
        </is>
      </c>
      <c r="C1" s="1" t="inlineStr">
        <is>
          <t>ASIN</t>
        </is>
      </c>
      <c r="D1" s="1" t="inlineStr">
        <is>
          <t>Marca</t>
        </is>
      </c>
      <c r="E1" s="1" t="inlineStr">
        <is>
          <t>País</t>
        </is>
      </c>
      <c r="F1" s="1" t="inlineStr">
        <is>
          <t>Precio venta (€)</t>
        </is>
      </c>
      <c r="G1" s="1" t="inlineStr">
        <is>
          <t>PA suelto (€)</t>
        </is>
      </c>
      <c r="H1" s="1" t="inlineStr">
        <is>
          <t>PA lote (€)</t>
        </is>
      </c>
      <c r="I1" s="1" t="inlineStr">
        <is>
          <t>Ahorro/ud (€)</t>
        </is>
      </c>
      <c r="J1" s="1" t="inlineStr">
        <is>
          <t>Beneficio lote (€)</t>
        </is>
      </c>
      <c r="K1" s="1" t="inlineStr">
        <is>
          <t>Margen lote</t>
        </is>
      </c>
      <c r="L1" s="1" t="inlineStr">
        <is>
          <t>Decisión lote</t>
        </is>
      </c>
      <c r="M1" s="1" t="inlineStr">
        <is>
          <t>Uds. para ese precio</t>
        </is>
      </c>
      <c r="N1" s="1" t="inlineStr">
        <is>
          <t>Coherencia</t>
        </is>
      </c>
    </row>
    <row r="2">
      <c r="A2" t="inlineStr">
        <is>
          <t>Producto de prueba Beta (caja x6)</t>
        </is>
      </c>
      <c r="B2" t="inlineStr">
        <is>
          <t>8400000000024 C6</t>
        </is>
      </c>
      <c r="C2" t="inlineStr">
        <is>
          <t>B0PRUEBA02</t>
        </is>
      </c>
      <c r="D2" t="inlineStr">
        <is>
          <t>Marca Dos</t>
        </is>
      </c>
      <c r="E2" t="inlineStr">
        <is>
          <t>FR</t>
        </is>
      </c>
      <c r="F2" s="3" t="n">
        <v>11.5</v>
      </c>
      <c r="G2" s="3" t="n">
        <v>2.5</v>
      </c>
      <c r="H2" s="3" t="n">
        <v>2</v>
      </c>
      <c r="I2" s="3" t="n">
        <v>0.5</v>
      </c>
      <c r="J2" s="3" t="n">
        <v>2.46</v>
      </c>
      <c r="K2" s="5" t="n">
        <v>0.2142</v>
      </c>
      <c r="L2" t="inlineStr">
        <is>
          <t>COMPRAR</t>
        </is>
      </c>
      <c r="M2" t="n">
        <v>12</v>
      </c>
      <c r="N2" t="inlineStr"/>
    </row>
    <row r="3">
      <c r="A3" t="inlineStr">
        <is>
          <t>Producto de prueba Beta (caja x6)</t>
        </is>
      </c>
      <c r="B3" t="inlineStr">
        <is>
          <t>8400000000024 C6</t>
        </is>
      </c>
      <c r="C3" t="inlineStr">
        <is>
          <t>B0PRUEBA02</t>
        </is>
      </c>
      <c r="D3" t="inlineStr">
        <is>
          <t>Marca Dos</t>
        </is>
      </c>
      <c r="E3" t="inlineStr">
        <is>
          <t>ES</t>
        </is>
      </c>
      <c r="F3" s="3" t="n">
        <v>9.99</v>
      </c>
      <c r="G3" s="3" t="n">
        <v>2.5</v>
      </c>
      <c r="H3" s="3" t="n">
        <v>2</v>
      </c>
      <c r="I3" s="3" t="n">
        <v>0.5</v>
      </c>
      <c r="J3" s="3" t="n">
        <v>1.46</v>
      </c>
      <c r="K3" s="5" t="n">
        <v>0.1464</v>
      </c>
      <c r="L3" t="inlineStr">
        <is>
          <t>COMPRAR</t>
        </is>
      </c>
      <c r="M3" t="n">
        <v>12</v>
      </c>
      <c r="N3" t="inlineStr"/>
    </row>
    <row r="4">
      <c r="A4" t="inlineStr">
        <is>
          <t>Producto de prueba Gamma</t>
        </is>
      </c>
      <c r="B4" t="inlineStr">
        <is>
          <t>8400000000031</t>
        </is>
      </c>
      <c r="C4" t="inlineStr">
        <is>
          <t>B0PRUEBA03</t>
        </is>
      </c>
      <c r="D4" t="inlineStr">
        <is>
          <t>Marca Tres</t>
        </is>
      </c>
      <c r="E4" t="inlineStr">
        <is>
          <t>ES</t>
        </is>
      </c>
      <c r="F4" s="3" t="n">
        <v>14</v>
      </c>
      <c r="G4" s="3" t="n"/>
      <c r="H4" s="3" t="n">
        <v>9</v>
      </c>
      <c r="I4" s="3" t="n"/>
      <c r="J4" s="3" t="n">
        <v>-2.84</v>
      </c>
      <c r="K4" s="5" t="n">
        <v>-0.2031</v>
      </c>
      <c r="L4" t="inlineStr">
        <is>
          <t>NO COMPRAR</t>
        </is>
      </c>
      <c r="M4" t="n">
        <v>6</v>
      </c>
      <c r="N4" t="inlineStr"/>
    </row>
    <row r="5">
      <c r="A5" t="inlineStr">
        <is>
          <t>Producto de prueba Delta</t>
        </is>
      </c>
      <c r="B5" t="inlineStr">
        <is>
          <t>8400000000048</t>
        </is>
      </c>
      <c r="C5" t="inlineStr">
        <is>
          <t>B0PRUEBA04</t>
        </is>
      </c>
      <c r="D5" t="inlineStr">
        <is>
          <t>Marca Uno</t>
        </is>
      </c>
      <c r="E5" t="inlineStr">
        <is>
          <t>IT</t>
        </is>
      </c>
      <c r="F5" s="3" t="n">
        <v>8.5</v>
      </c>
      <c r="G5" s="3" t="n">
        <v>6</v>
      </c>
      <c r="H5" s="3" t="n">
        <v>7</v>
      </c>
      <c r="I5" s="3" t="n">
        <v>-1</v>
      </c>
      <c r="J5" s="3" t="n">
        <v>-4.6</v>
      </c>
      <c r="K5" s="5" t="n">
        <v>-0.5407</v>
      </c>
      <c r="L5" t="inlineStr">
        <is>
          <t>NO COMPRAR</t>
        </is>
      </c>
      <c r="M5" t="n">
        <v>24</v>
      </c>
      <c r="N5" t="inlineStr">
        <is>
          <t>INCOHERENTE: lote (7.0) mas caro que suelto (6.0)</t>
        </is>
      </c>
    </row>
    <row r="6">
      <c r="A6" t="inlineStr">
        <is>
          <t>Producto de prueba Delta</t>
        </is>
      </c>
      <c r="B6" t="inlineStr">
        <is>
          <t>8400000000048</t>
        </is>
      </c>
      <c r="C6" t="inlineStr">
        <is>
          <t>B0PRUEBA04</t>
        </is>
      </c>
      <c r="D6" t="inlineStr">
        <is>
          <t>Marca Uno</t>
        </is>
      </c>
      <c r="E6" t="inlineStr">
        <is>
          <t>ES</t>
        </is>
      </c>
      <c r="F6" s="3" t="n">
        <v>8</v>
      </c>
      <c r="G6" s="3" t="n">
        <v>6</v>
      </c>
      <c r="H6" s="3" t="n">
        <v>7</v>
      </c>
      <c r="I6" s="3" t="n">
        <v>-1</v>
      </c>
      <c r="J6" s="3" t="n">
        <v>-4.87</v>
      </c>
      <c r="K6" s="5" t="n">
        <v>-0.6093</v>
      </c>
      <c r="L6" t="inlineStr">
        <is>
          <t>NO COMPRAR</t>
        </is>
      </c>
      <c r="M6" t="n">
        <v>24</v>
      </c>
      <c r="N6" t="inlineStr">
        <is>
          <t>INCOHERENTE: lote (7.0) mas caro que suelto (6.0)</t>
        </is>
      </c>
    </row>
  </sheetData>
  <conditionalFormatting sqref="L2:L6">
    <cfRule type="expression" priority="1" dxfId="0" stopIfTrue="1">
      <formula>ISNUMBER(SEARCH("NO COMPRAR",L2))</formula>
    </cfRule>
    <cfRule type="expression" priority="2" dxfId="1" stopIfTrue="1">
      <formula>ISNUMBER(SEARCH("VALORAR",L2))</formula>
    </cfRule>
    <cfRule type="expression" priority="3" dxfId="2" stopIfTrue="1">
      <formula>ISNUMBER(SEARCH("COMPRAR",L2))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4" customWidth="1" min="7" max="7"/>
    <col width="16" customWidth="1" min="8" max="8"/>
    <col width="26" customWidth="1" min="9" max="9"/>
  </cols>
  <sheetData>
    <row r="1">
      <c r="A1" s="1" t="inlineStr">
        <is>
          <t>Nombre</t>
        </is>
      </c>
      <c r="B1" s="1" t="inlineStr">
        <is>
          <t>Código HEO</t>
        </is>
      </c>
      <c r="C1" s="1" t="inlineStr">
        <is>
          <t>EAN caja</t>
        </is>
      </c>
      <c r="D1" s="1" t="inlineStr">
        <is>
          <t>Precio caja (€)</t>
        </is>
      </c>
      <c r="E1" s="1" t="inlineStr">
        <is>
          <t>Precio /6 (€)</t>
        </is>
      </c>
      <c r="F1" s="1" t="inlineStr">
        <is>
          <t>Estado</t>
        </is>
      </c>
      <c r="G1" s="1" t="inlineStr">
        <is>
          <t>Imagen</t>
        </is>
      </c>
      <c r="H1" s="1" t="inlineStr">
        <is>
          <t>Buscar en Amazon</t>
        </is>
      </c>
      <c r="I1" s="1" t="inlineStr">
        <is>
          <t>ASIN (pégalo en Supabase)</t>
        </is>
      </c>
    </row>
    <row r="2">
      <c r="A2" t="inlineStr">
        <is>
          <t>Prueba caja con chase Surtido (6)</t>
        </is>
      </c>
      <c r="B2" t="inlineStr">
        <is>
          <t>FK00000</t>
        </is>
      </c>
      <c r="C2" t="inlineStr">
        <is>
          <t>9990000000011</t>
        </is>
      </c>
      <c r="D2" s="3" t="n">
        <v>30</v>
      </c>
      <c r="E2" s="3" t="n">
        <v>5</v>
      </c>
      <c r="F2" t="inlineStr">
        <is>
          <t>disponible</t>
        </is>
      </c>
      <c r="G2" s="2" t="inlineStr">
        <is>
          <t>Ver imagen ↗</t>
        </is>
      </c>
      <c r="H2" s="2" t="inlineStr">
        <is>
          <t>Buscar ↗</t>
        </is>
      </c>
      <c r="I2" t="inlineStr"/>
    </row>
    <row r="3">
      <c r="A3" t="inlineStr">
        <is>
          <t>Prueba caja sin precio</t>
        </is>
      </c>
      <c r="B3" t="inlineStr">
        <is>
          <t>FK00001</t>
        </is>
      </c>
      <c r="C3" t="inlineStr"/>
      <c r="D3" s="3" t="n"/>
      <c r="E3" s="3" t="n"/>
      <c r="F3" t="inlineStr">
        <is>
          <t>agotado</t>
        </is>
      </c>
      <c r="G3" t="inlineStr"/>
      <c r="H3" t="inlineStr"/>
      <c r="I3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2026-09-28T15:19:57Z</dcterms:created>
  <dcterms:modified xsi:type="dcterms:W3CDTF">2026-09-28T15:19:57Z</dcterms:modified>
</cp:coreProperties>
</file>